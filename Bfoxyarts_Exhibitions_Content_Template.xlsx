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drive.merck.com/personal/foxjames_merck_com/Documents/desktop/2026 Desktop/Bfoxyarts092826 files/"/>
    </mc:Choice>
  </mc:AlternateContent>
  <xr:revisionPtr revIDLastSave="100" documentId="8_{4E57177B-A050-4DAA-8265-3868DA81492E}" xr6:coauthVersionLast="47" xr6:coauthVersionMax="47" xr10:uidLastSave="{D94AB7DD-417B-48C0-9F00-77A002FC0ABC}"/>
  <bookViews>
    <workbookView xWindow="-120" yWindow="-120" windowWidth="29040" windowHeight="15720" activeTab="1" xr2:uid="{00000000-000D-0000-FFFF-FFFF00000000}"/>
  </bookViews>
  <sheets>
    <sheet name="Instructions" sheetId="1" r:id="rId1"/>
    <sheet name="Exhibitions" sheetId="2" r:id="rId2"/>
    <sheet name="Page Sett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2" l="1"/>
  <c r="Z7" i="2"/>
  <c r="Y7" i="2"/>
  <c r="X7" i="2"/>
  <c r="W7" i="2"/>
  <c r="AA21" i="2"/>
  <c r="Z21" i="2"/>
  <c r="Y21" i="2"/>
  <c r="X21" i="2"/>
  <c r="W21" i="2"/>
  <c r="AA20" i="2"/>
  <c r="Z20" i="2"/>
  <c r="Y20" i="2"/>
  <c r="X20" i="2"/>
  <c r="W20" i="2"/>
  <c r="AA19" i="2"/>
  <c r="Z19" i="2"/>
  <c r="Y19" i="2"/>
  <c r="X19" i="2"/>
  <c r="W19" i="2"/>
  <c r="AA18" i="2"/>
  <c r="Z18" i="2"/>
  <c r="Y18" i="2"/>
  <c r="X18" i="2"/>
  <c r="W18" i="2"/>
  <c r="AA17" i="2"/>
  <c r="Z17" i="2"/>
  <c r="Y17" i="2"/>
  <c r="X17" i="2"/>
  <c r="W17" i="2"/>
  <c r="AA16" i="2"/>
  <c r="Z16" i="2"/>
  <c r="Y16" i="2"/>
  <c r="X16" i="2"/>
  <c r="W16" i="2"/>
  <c r="AA15" i="2"/>
  <c r="Z15" i="2"/>
  <c r="Y15" i="2"/>
  <c r="X15" i="2"/>
  <c r="W15" i="2"/>
  <c r="AA14" i="2"/>
  <c r="Z14" i="2"/>
  <c r="Y14" i="2"/>
  <c r="X14" i="2"/>
  <c r="W14" i="2"/>
  <c r="AA13" i="2"/>
  <c r="Z13" i="2"/>
  <c r="Y13" i="2"/>
  <c r="X13" i="2"/>
  <c r="W13" i="2"/>
  <c r="AA12" i="2"/>
  <c r="Z12" i="2"/>
  <c r="Y12" i="2"/>
  <c r="X12" i="2"/>
  <c r="W12" i="2"/>
  <c r="AA11" i="2"/>
  <c r="Z11" i="2"/>
  <c r="Y11" i="2"/>
  <c r="X11" i="2"/>
  <c r="W11" i="2"/>
  <c r="AA10" i="2"/>
  <c r="Z10" i="2"/>
  <c r="Y10" i="2"/>
  <c r="X10" i="2"/>
  <c r="W10" i="2"/>
  <c r="AA9" i="2"/>
  <c r="Z9" i="2"/>
  <c r="Y9" i="2"/>
  <c r="X9" i="2"/>
  <c r="W9" i="2"/>
  <c r="AA8" i="2"/>
  <c r="Z8" i="2"/>
  <c r="Y8" i="2"/>
  <c r="X8" i="2"/>
  <c r="W8" i="2"/>
  <c r="Z6" i="2"/>
  <c r="Y6" i="2"/>
  <c r="W6" i="2"/>
  <c r="X6" i="2" s="1"/>
  <c r="Z5" i="2"/>
  <c r="Y5" i="2"/>
  <c r="W5" i="2"/>
  <c r="X5" i="2" s="1"/>
  <c r="Z4" i="2"/>
  <c r="Y4" i="2"/>
  <c r="W4" i="2"/>
  <c r="X4" i="2" s="1"/>
  <c r="Z3" i="2"/>
  <c r="Y3" i="2"/>
  <c r="W3" i="2"/>
  <c r="X3" i="2" s="1"/>
  <c r="Z2" i="2"/>
  <c r="Y2" i="2"/>
  <c r="X2" i="2"/>
  <c r="AA6" i="2" l="1"/>
  <c r="AA4" i="2"/>
  <c r="AA5" i="2"/>
  <c r="AA3" i="2"/>
  <c r="A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I1" authorId="0" shapeId="0" xr:uid="{00000000-0006-0000-0100-000001000000}">
      <text>
        <r>
          <rPr>
            <sz val="11"/>
            <color theme="1"/>
            <rFont val="Calibri"/>
            <family val="2"/>
            <scheme val="minor"/>
          </rPr>
          <t>Link to the venue or gallery home page. This is different from the official page for the specific show.</t>
        </r>
      </text>
    </comment>
    <comment ref="J1" authorId="0" shapeId="0" xr:uid="{00000000-0006-0000-0100-000002000000}">
      <text>
        <r>
          <rPr>
            <sz val="11"/>
            <color theme="1"/>
            <rFont val="Calibri"/>
            <family val="2"/>
            <scheme val="minor"/>
          </rPr>
          <t>Use the venue or organizer’s official page advertising this specific exhibition. Prefer an official event page over a social-media post. Leave blank if none exists.</t>
        </r>
      </text>
    </comment>
    <comment ref="P1" authorId="0" shapeId="0" xr:uid="{00000000-0006-0000-0100-000003000000}">
      <text>
        <r>
          <rPr>
            <sz val="11"/>
            <color theme="1"/>
            <rFont val="Calibri"/>
            <family val="2"/>
            <scheme val="minor"/>
          </rPr>
          <t>Write 1–3 sentences describing the exhibition and Bernadette’s participation.</t>
        </r>
      </text>
    </comment>
    <comment ref="Q1" authorId="0" shapeId="0" xr:uid="{00000000-0006-0000-0100-000004000000}">
      <text>
        <r>
          <rPr>
            <sz val="11"/>
            <color theme="1"/>
            <rFont val="Calibri"/>
            <family val="2"/>
            <scheme val="minor"/>
          </rPr>
          <t>Example: exhibitions-show-name-2026.jpg. Store it in the website images folder.</t>
        </r>
      </text>
    </comment>
    <comment ref="R1" authorId="0" shapeId="0" xr:uid="{00000000-0006-0000-0100-000005000000}">
      <text>
        <r>
          <rPr>
            <sz val="11"/>
            <color theme="1"/>
            <rFont val="Calibri"/>
            <family val="2"/>
            <scheme val="minor"/>
          </rPr>
          <t>Describe what the image shows. Do not keyword-stuff.</t>
        </r>
      </text>
    </comment>
    <comment ref="U1" authorId="0" shapeId="0" xr:uid="{00000000-0006-0000-0100-000006000000}">
      <text>
        <r>
          <rPr>
            <sz val="11"/>
            <color theme="1"/>
            <rFont val="Calibri"/>
            <family val="2"/>
            <scheme val="minor"/>
          </rPr>
          <t>Use only when visitors need a separate ticket, RSVP, or registration link. Leave blank for free events that do not require registration.</t>
        </r>
      </text>
    </comment>
    <comment ref="AA1" authorId="0" shapeId="0" xr:uid="{00000000-0006-0000-0100-000007000000}">
      <text>
        <r>
          <rPr>
            <sz val="11"/>
            <color theme="1"/>
            <rFont val="Calibri"/>
            <family val="2"/>
            <scheme val="minor"/>
          </rPr>
          <t>Generated starting HTML for one exhibition card. Review before using.</t>
        </r>
      </text>
    </comment>
    <comment ref="C2" authorId="0" shapeId="0" xr:uid="{00000000-0006-0000-0100-000008000000}">
      <text>
        <r>
          <rPr>
            <sz val="11"/>
            <color theme="1"/>
            <rFont val="Calibri"/>
            <family val="2"/>
            <scheme val="minor"/>
          </rPr>
          <t>Enter the public exhibition title exactly as the venue uses it.</t>
        </r>
      </text>
    </comment>
  </commentList>
</comments>
</file>

<file path=xl/sharedStrings.xml><?xml version="1.0" encoding="utf-8"?>
<sst xmlns="http://schemas.openxmlformats.org/spreadsheetml/2006/main" count="167" uniqueCount="121">
  <si>
    <t>Bfoxyarts Exhibitions Page Content Template</t>
  </si>
  <si>
    <t>Purpose</t>
  </si>
  <si>
    <t>Use this workbook as the source of truth for current, upcoming, and past gallery shows on bfoxyarts.com.</t>
  </si>
  <si>
    <t>How to use it</t>
  </si>
  <si>
    <t>1. Enter one exhibition per row on the Exhibitions sheet. Blue text columns are fields you complete.</t>
  </si>
  <si>
    <t>2. Enter real Excel dates in Start Date and End Date. Status and sort order calculate automatically from the As of Date on Page Settings.</t>
  </si>
  <si>
    <t>3. Set Publish? to Yes only when the entry is ready for the website.</t>
  </si>
  <si>
    <t>4. Use Featured? = Yes for the most important current or upcoming show.</t>
  </si>
  <si>
    <t>5. Keep past shows. They demonstrate an ongoing exhibition history and should appear below current and upcoming shows.</t>
  </si>
  <si>
    <t>6. Add an image filename only when the image is stored in the website images folder. Include descriptive alt text.</t>
  </si>
  <si>
    <t>7. Copy the Generated HTML Snippet only after reviewing all content. It is a starting block for the future exhibitions.html page.</t>
  </si>
  <si>
    <t>8. Add both the venue website and, when available, the venue or organizer’s official advertisement page for the specific show.</t>
  </si>
  <si>
    <t>9. Add a ticket or registration URL only when it is separate from the official show page.</t>
  </si>
  <si>
    <t>Recommended page order</t>
  </si>
  <si>
    <t>Current exhibitions → Upcoming exhibitions → Past exhibitions. Within each section, use Sort Order ascending.</t>
  </si>
  <si>
    <t>Required fields</t>
  </si>
  <si>
    <t>Exhibition Name, Venue, City, State, Start Date, End Date, Short Description, Publish?; recommended: venue website and official show advertisement URL.</t>
  </si>
  <si>
    <t>Privacy note</t>
  </si>
  <si>
    <t>Use the public venue address only. Do not enter a home address or private contact details.</t>
  </si>
  <si>
    <t>Publish?</t>
  </si>
  <si>
    <t>Featured?</t>
  </si>
  <si>
    <t>Exhibition Name</t>
  </si>
  <si>
    <t>Venue / Gallery</t>
  </si>
  <si>
    <t>Street Address</t>
  </si>
  <si>
    <t>City</t>
  </si>
  <si>
    <t>State</t>
  </si>
  <si>
    <t>ZIP</t>
  </si>
  <si>
    <t>Venue Website</t>
  </si>
  <si>
    <t>Official Show / Advertisement URL</t>
  </si>
  <si>
    <t>Start Date</t>
  </si>
  <si>
    <t>End Date</t>
  </si>
  <si>
    <t>Opening Reception Date</t>
  </si>
  <si>
    <t>Reception Time</t>
  </si>
  <si>
    <t>Participating Artwork</t>
  </si>
  <si>
    <t>Short Description</t>
  </si>
  <si>
    <t>Ticket / Registration URL</t>
  </si>
  <si>
    <t>Contact / Notes</t>
  </si>
  <si>
    <t>Status</t>
  </si>
  <si>
    <t>Sort Order</t>
  </si>
  <si>
    <t>Display Date</t>
  </si>
  <si>
    <t>URL Slug</t>
  </si>
  <si>
    <t>Generated HTML Snippet</t>
  </si>
  <si>
    <t>No</t>
  </si>
  <si>
    <t>Exhibitions Page Settings</t>
  </si>
  <si>
    <t>Site Name</t>
  </si>
  <si>
    <t>Bfoxyarts</t>
  </si>
  <si>
    <t>Artist Name</t>
  </si>
  <si>
    <t>Bernadette Fox</t>
  </si>
  <si>
    <t>Page Title</t>
  </si>
  <si>
    <t>Exhibitions | Bernadette Fox Wildlife Art | Bfoxyarts</t>
  </si>
  <si>
    <t>Meta Description</t>
  </si>
  <si>
    <t>See current, upcoming, and past exhibitions featuring original wildlife art by New Jersey artist Bernadette Fox of Bfoxyarts.</t>
  </si>
  <si>
    <t>Canonical URL</t>
  </si>
  <si>
    <t>https://bfoxyarts.com/exhibitions</t>
  </si>
  <si>
    <t>Contact Email</t>
  </si>
  <si>
    <t>hello@bfoxyarts.com</t>
  </si>
  <si>
    <t>As of Date</t>
  </si>
  <si>
    <t>Past Shows Heading</t>
  </si>
  <si>
    <t>Past Exhibitions</t>
  </si>
  <si>
    <t>Upcoming Shows Heading</t>
  </si>
  <si>
    <t>Upcoming Exhibitions</t>
  </si>
  <si>
    <t>Current Shows Heading</t>
  </si>
  <si>
    <t>Current Exhibitions</t>
  </si>
  <si>
    <t>Yes</t>
  </si>
  <si>
    <t>A Life Worth Living - The Search for Meaning</t>
  </si>
  <si>
    <t>https://modernfossils.net/</t>
  </si>
  <si>
    <t>MFA: Modern Fossils Art Gallery</t>
  </si>
  <si>
    <t>Frenchtown</t>
  </si>
  <si>
    <t>NJ</t>
  </si>
  <si>
    <t>10 Bridge St</t>
  </si>
  <si>
    <t>MFA Gallery presents our Juried Group Exhibition entitled
“A Life Worth Living: The Search for Meaning”
This Exhibition will feature artwork from numerous selected artists,
in a wide variety of mediums, each depicting
different aspects of that which gives meaning to their lives.</t>
  </si>
  <si>
    <t>Artists List</t>
  </si>
  <si>
    <t>Image Filename 2</t>
  </si>
  <si>
    <t>Image Filename 1</t>
  </si>
  <si>
    <t>Image Alt Text 1</t>
  </si>
  <si>
    <t>Image Alt Text 2</t>
  </si>
  <si>
    <t>MFA1.jpg</t>
  </si>
  <si>
    <t>MFA2.jpg</t>
  </si>
  <si>
    <t>Exhibition Flyer</t>
  </si>
  <si>
    <t>https://careers-app-shopify.s3.ap-south-1.amazonaws.com/prod/2541/43911/v1789754302323/image_large.webp</t>
  </si>
  <si>
    <t>Meet the Artist, Bernadette Fox, 2-4 on October 3rd, 2026!</t>
  </si>
  <si>
    <t>GBH: Giraffe By Happenstance</t>
  </si>
  <si>
    <t>Memento Mori II</t>
  </si>
  <si>
    <t>Connexions Gallery</t>
  </si>
  <si>
    <t>213 Northampton St</t>
  </si>
  <si>
    <t>Easton</t>
  </si>
  <si>
    <t>PA</t>
  </si>
  <si>
    <t>https://www.connexionsgallery.com/</t>
  </si>
  <si>
    <t>Mommento Mori is Latin for "remember that we must die".  It's an artistic symbol or trope acting as a reminder of the inevitability of death.  Think skulls, graveyards, certain birtds and animals like  crows, ravens, vultures, candles, rotting fruit, wilited flowers... subtle or overt.</t>
  </si>
  <si>
    <t>https://www.facebook.com/share/14s9MYU7CsR/?mibextid=wwXIfr</t>
  </si>
  <si>
    <t>Saturday, October 10, 2026</t>
  </si>
  <si>
    <t>7-10PM</t>
  </si>
  <si>
    <t>Noon - 6PM</t>
  </si>
  <si>
    <t>Nevermore</t>
  </si>
  <si>
    <t>Paws-Paint + Purpose.  Animal Themed Art Exhibit</t>
  </si>
  <si>
    <t>Whitespace Art + Event Gallery</t>
  </si>
  <si>
    <t>47 Route 46</t>
  </si>
  <si>
    <t xml:space="preserve">Hackettstown </t>
  </si>
  <si>
    <t>Event Conculded</t>
  </si>
  <si>
    <t>Mori.jpg</t>
  </si>
  <si>
    <t>Paws.jpg</t>
  </si>
  <si>
    <t>Painting for a cause.  Percentage of sales go to support local animal rescue.  Animal themed art.</t>
  </si>
  <si>
    <t>Current</t>
  </si>
  <si>
    <t>Emotional Connections in Art</t>
  </si>
  <si>
    <t>Mills Pond Gallery</t>
  </si>
  <si>
    <t>https://www.millspondgallery.org/past-exhibitions-1#/between-artistartwork-and-audience</t>
  </si>
  <si>
    <t>https://www.millspondgallery.org/</t>
  </si>
  <si>
    <t>660 New York 25A</t>
  </si>
  <si>
    <t>Saint James</t>
  </si>
  <si>
    <t>NY</t>
  </si>
  <si>
    <t>The Human Connection Through Art</t>
  </si>
  <si>
    <t>Mills.jpg</t>
  </si>
  <si>
    <t>Perfectly Imperfect | International art exhibit</t>
  </si>
  <si>
    <t>Inperfecta</t>
  </si>
  <si>
    <t>The Imperfecta Art &amp; Design Gallery is pleased to present Perfectly Imperfect, a group art show that features 27 artists based in the US, UK, Italy, Spain, Chile and Mexico. Artists were challenged to explore notions of imperfection and the beauty of imperfect uniqueness by creating monochromatic artworks in any medium.</t>
  </si>
  <si>
    <t>809 NW Flanders St</t>
  </si>
  <si>
    <t>Portland</t>
  </si>
  <si>
    <t>OR</t>
  </si>
  <si>
    <t>https://www.imperfecta.xyz/</t>
  </si>
  <si>
    <t>https://www.prlog.org/13042792-perfectly-imperfect-international-art-exhibit.html</t>
  </si>
  <si>
    <t>imperfect.jpg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</si>
</sst>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F800]dddd\,\ mmmm\ dd\,\ yyyy"/>
  </numFmts>
  <fonts count="14" x14ac:knownFonts="1">
    <font>
      <sz val="11"/>
      <color theme="1"/>
      <name val="Calibri"/>
      <family val="2"/>
      <scheme val="minor"/>
    </font>
    <font>
      <b/>
      <sz val="20"/>
      <color rgb="FF5B2C83"/>
      <name val="Calibri"/>
    </font>
    <font>
      <b/>
      <sz val="13"/>
      <color rgb="FFFFFFFF"/>
      <name val="Calibri"/>
    </font>
    <font>
      <b/>
      <sz val="18"/>
      <color rgb="FF5B2C83"/>
      <name val="Calibri"/>
    </font>
    <font>
      <b/>
      <sz val="11"/>
      <color rgb="FF666666"/>
      <name val="Calibri"/>
    </font>
    <font>
      <sz val="11"/>
      <color rgb="FF0000FF"/>
      <name val="Calibri"/>
    </font>
    <font>
      <b/>
      <sz val="11"/>
      <color rgb="FFFFFFFF"/>
      <name val="Calibri"/>
    </font>
    <font>
      <sz val="11"/>
      <color rgb="FF000000"/>
      <name val="Calibri"/>
    </font>
    <font>
      <b/>
      <sz val="11"/>
      <color rgb="FFFFFFFF"/>
      <name val="Calibri"/>
      <family val="2"/>
    </font>
    <font>
      <sz val="11"/>
      <color rgb="FF0000FF"/>
      <name val="Calibri"/>
      <family val="2"/>
    </font>
    <font>
      <sz val="11"/>
      <color rgb="FF000000"/>
      <name val="Calibri"/>
      <family val="2"/>
    </font>
    <font>
      <u/>
      <sz val="11"/>
      <color theme="10"/>
      <name val="Calibri"/>
      <family val="2"/>
      <scheme val="minor"/>
    </font>
    <font>
      <sz val="11"/>
      <color rgb="FF050505"/>
      <name val="Segoe UI Historic"/>
      <family val="2"/>
    </font>
    <font>
      <sz val="12"/>
      <color rgb="FF1A1A1A"/>
      <name val="Roboto"/>
    </font>
  </fonts>
  <fills count="3">
    <fill>
      <patternFill patternType="none"/>
    </fill>
    <fill>
      <patternFill patternType="gray125"/>
    </fill>
    <fill>
      <patternFill patternType="solid">
        <fgColor rgb="FF5B2C83"/>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3">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top" wrapText="1"/>
    </xf>
    <xf numFmtId="0" fontId="6" fillId="2" borderId="0" xfId="0" applyFont="1" applyFill="1" applyAlignment="1">
      <alignment vertical="center" wrapText="1"/>
    </xf>
    <xf numFmtId="0" fontId="5" fillId="0" borderId="0" xfId="0" applyFont="1" applyAlignment="1">
      <alignment vertical="top" wrapText="1"/>
    </xf>
    <xf numFmtId="164" fontId="5" fillId="0" borderId="0" xfId="0" applyNumberFormat="1" applyFont="1" applyAlignment="1">
      <alignment vertical="top" wrapText="1"/>
    </xf>
    <xf numFmtId="0" fontId="3" fillId="0" borderId="0" xfId="0" applyFont="1"/>
    <xf numFmtId="0" fontId="4" fillId="0" borderId="0" xfId="0" applyFont="1"/>
    <xf numFmtId="0" fontId="7" fillId="0" borderId="0" xfId="0" applyFont="1" applyAlignment="1">
      <alignment vertical="top" wrapText="1"/>
    </xf>
    <xf numFmtId="0" fontId="9" fillId="0" borderId="0" xfId="0" applyFont="1" applyAlignment="1">
      <alignment vertical="top" wrapText="1"/>
    </xf>
    <xf numFmtId="165" fontId="6" fillId="2" borderId="0" xfId="0" applyNumberFormat="1" applyFont="1" applyFill="1" applyAlignment="1">
      <alignment vertical="center" wrapText="1"/>
    </xf>
    <xf numFmtId="165" fontId="12" fillId="0" borderId="0" xfId="0" applyNumberFormat="1" applyFont="1"/>
    <xf numFmtId="165" fontId="9" fillId="0" borderId="0" xfId="0" applyNumberFormat="1" applyFont="1" applyAlignment="1">
      <alignment vertical="top" wrapText="1"/>
    </xf>
    <xf numFmtId="165" fontId="5" fillId="0" borderId="0" xfId="0" applyNumberFormat="1" applyFont="1" applyAlignment="1">
      <alignment vertical="top" wrapText="1"/>
    </xf>
    <xf numFmtId="165" fontId="0" fillId="0" borderId="0" xfId="0" applyNumberFormat="1"/>
    <xf numFmtId="0" fontId="11" fillId="0" borderId="0" xfId="1"/>
    <xf numFmtId="0" fontId="13" fillId="0" borderId="0" xfId="0" applyFont="1" applyAlignment="1">
      <alignment wrapText="1"/>
    </xf>
    <xf numFmtId="0" fontId="8" fillId="2" borderId="0" xfId="0" applyFont="1" applyFill="1" applyAlignment="1">
      <alignment vertical="center" wrapText="1"/>
    </xf>
    <xf numFmtId="1" fontId="12" fillId="0" borderId="0" xfId="0" applyNumberFormat="1" applyFont="1"/>
    <xf numFmtId="0" fontId="10" fillId="0" borderId="0" xfId="0" applyFont="1" applyAlignment="1">
      <alignment vertical="top" wrapText="1"/>
    </xf>
    <xf numFmtId="15" fontId="5" fillId="0" borderId="0" xfId="0" applyNumberFormat="1" applyFont="1" applyAlignment="1">
      <alignment vertical="top" wrapText="1"/>
    </xf>
    <xf numFmtId="14" fontId="5" fillId="0" borderId="0" xfId="0" applyNumberFormat="1" applyFont="1" applyAlignment="1">
      <alignment vertical="top" wrapText="1"/>
    </xf>
  </cellXfs>
  <cellStyles count="2">
    <cellStyle name="Hyperlink" xfId="1" builtinId="8"/>
    <cellStyle name="Normal" xfId="0" builtinId="0"/>
  </cellStyles>
  <dxfs count="10">
    <dxf>
      <fill>
        <patternFill patternType="solid">
          <fgColor rgb="FFE7E6E6"/>
        </patternFill>
      </fill>
    </dxf>
    <dxf>
      <fill>
        <patternFill patternType="solid">
          <fgColor rgb="FFDDEBF7"/>
        </patternFill>
      </fill>
    </dxf>
    <dxf>
      <fill>
        <patternFill patternType="solid">
          <fgColor rgb="FFC6E0B4"/>
        </patternFill>
      </fill>
    </dxf>
    <dxf>
      <fill>
        <patternFill patternType="solid">
          <fgColor rgb="FFF4CCCC"/>
        </patternFill>
      </fill>
    </dxf>
    <dxf>
      <font>
        <b val="0"/>
        <i val="0"/>
        <strike val="0"/>
        <condense val="0"/>
        <extend val="0"/>
        <outline val="0"/>
        <shadow val="0"/>
        <u val="none"/>
        <vertAlign val="baseline"/>
        <sz val="11"/>
        <color rgb="FF0000FF"/>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FF"/>
        <name val="Calibri"/>
        <scheme val="none"/>
      </font>
      <alignment horizontal="general" vertical="top" textRotation="0" wrapText="1" indent="0" justifyLastLine="0" shrinkToFit="0" readingOrder="0"/>
    </dxf>
    <dxf>
      <numFmt numFmtId="165" formatCode="[$-F800]dddd\,\ mmmm\ dd\,\ yyyy"/>
    </dxf>
    <dxf>
      <numFmt numFmtId="165" formatCode="[$-F800]dddd\,\ mmmm\ dd\,\ yyyy"/>
    </dxf>
    <dxf>
      <numFmt numFmtId="165" formatCode="[$-F800]dddd\,\ mmmm\ dd\,\ 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hibitionsTable" displayName="ExhibitionsTable" ref="A1:AA21">
  <autoFilter ref="A1:AA21" xr:uid="{00000000-0009-0000-0100-000001000000}"/>
  <tableColumns count="27">
    <tableColumn id="1" xr3:uid="{00000000-0010-0000-0000-000001000000}" name="Publish?"/>
    <tableColumn id="2" xr3:uid="{00000000-0010-0000-0000-000002000000}" name="Featured?"/>
    <tableColumn id="3" xr3:uid="{00000000-0010-0000-0000-000003000000}" name="Exhibition Name"/>
    <tableColumn id="4" xr3:uid="{00000000-0010-0000-0000-000004000000}" name="Venue / Gallery"/>
    <tableColumn id="5" xr3:uid="{00000000-0010-0000-0000-000005000000}" name="Street Address"/>
    <tableColumn id="6" xr3:uid="{00000000-0010-0000-0000-000006000000}" name="City"/>
    <tableColumn id="7" xr3:uid="{00000000-0010-0000-0000-000007000000}" name="State"/>
    <tableColumn id="8" xr3:uid="{00000000-0010-0000-0000-000008000000}" name="ZIP" dataDxfId="9"/>
    <tableColumn id="9" xr3:uid="{00000000-0010-0000-0000-000009000000}" name="Venue Website"/>
    <tableColumn id="10" xr3:uid="{00000000-0010-0000-0000-00000A000000}" name="Official Show / Advertisement URL"/>
    <tableColumn id="11" xr3:uid="{00000000-0010-0000-0000-00000B000000}" name="Start Date" dataDxfId="8"/>
    <tableColumn id="12" xr3:uid="{00000000-0010-0000-0000-00000C000000}" name="End Date" dataDxfId="7"/>
    <tableColumn id="13" xr3:uid="{00000000-0010-0000-0000-00000D000000}" name="Opening Reception Date" dataDxfId="6"/>
    <tableColumn id="14" xr3:uid="{00000000-0010-0000-0000-00000E000000}" name="Reception Time"/>
    <tableColumn id="15" xr3:uid="{00000000-0010-0000-0000-00000F000000}" name="Participating Artwork"/>
    <tableColumn id="16" xr3:uid="{00000000-0010-0000-0000-000010000000}" name="Short Description"/>
    <tableColumn id="17" xr3:uid="{00000000-0010-0000-0000-000011000000}" name="Image Filename 1"/>
    <tableColumn id="18" xr3:uid="{00000000-0010-0000-0000-000012000000}" name="Image Alt Text 1"/>
    <tableColumn id="28" xr3:uid="{7F4F5C8F-8EE8-439F-84E1-9E93387E4F17}" name="Image Filename 2" dataDxfId="5"/>
    <tableColumn id="27" xr3:uid="{6D5B0236-A2F4-4E67-9B41-1D1338921EB5}" name="Image Alt Text 2" dataDxfId="4"/>
    <tableColumn id="19" xr3:uid="{00000000-0010-0000-0000-000013000000}" name="Ticket / Registration URL"/>
    <tableColumn id="20" xr3:uid="{00000000-0010-0000-0000-000014000000}" name="Contact / Notes"/>
    <tableColumn id="21" xr3:uid="{00000000-0010-0000-0000-000015000000}" name="Status"/>
    <tableColumn id="22" xr3:uid="{00000000-0010-0000-0000-000016000000}" name="Sort Order"/>
    <tableColumn id="23" xr3:uid="{00000000-0010-0000-0000-000017000000}" name="Display Date"/>
    <tableColumn id="24" xr3:uid="{00000000-0010-0000-0000-000018000000}" name="URL Slug"/>
    <tableColumn id="25" xr3:uid="{00000000-0010-0000-0000-000019000000}" name="Generated HTML Snippe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facebook.com/share/14s9MYU7CsR/?mibextid=wwXIfr" TargetMode="External"/><Relationship Id="rId1" Type="http://schemas.openxmlformats.org/officeDocument/2006/relationships/hyperlink" Target="https://maps.google.com/?q=MFA%20Gallery:%2010%20Bridge%20St,%20Suite%207%20Frenchtown,%20NJ" TargetMode="Externa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topLeftCell="A2" workbookViewId="0"/>
  </sheetViews>
  <sheetFormatPr defaultRowHeight="15" x14ac:dyDescent="0.25"/>
  <cols>
    <col min="1" max="1" width="120" customWidth="1"/>
  </cols>
  <sheetData>
    <row r="1" spans="1:1" ht="24" customHeight="1" x14ac:dyDescent="0.25">
      <c r="A1" s="1" t="s">
        <v>0</v>
      </c>
    </row>
    <row r="2" spans="1:1" ht="24" customHeight="1" x14ac:dyDescent="0.25">
      <c r="A2" s="2"/>
    </row>
    <row r="3" spans="1:1" ht="24" customHeight="1" x14ac:dyDescent="0.25">
      <c r="A3" s="3" t="s">
        <v>1</v>
      </c>
    </row>
    <row r="4" spans="1:1" ht="24" customHeight="1" x14ac:dyDescent="0.25">
      <c r="A4" s="2" t="s">
        <v>2</v>
      </c>
    </row>
    <row r="5" spans="1:1" ht="24" customHeight="1" x14ac:dyDescent="0.25">
      <c r="A5" s="2"/>
    </row>
    <row r="6" spans="1:1" ht="24" customHeight="1" x14ac:dyDescent="0.25">
      <c r="A6" s="3" t="s">
        <v>3</v>
      </c>
    </row>
    <row r="7" spans="1:1" ht="24" customHeight="1" x14ac:dyDescent="0.25">
      <c r="A7" s="2" t="s">
        <v>4</v>
      </c>
    </row>
    <row r="8" spans="1:1" ht="24" customHeight="1" x14ac:dyDescent="0.25">
      <c r="A8" s="2" t="s">
        <v>5</v>
      </c>
    </row>
    <row r="9" spans="1:1" ht="24" customHeight="1" x14ac:dyDescent="0.25">
      <c r="A9" s="2" t="s">
        <v>6</v>
      </c>
    </row>
    <row r="10" spans="1:1" ht="24" customHeight="1" x14ac:dyDescent="0.25">
      <c r="A10" s="2" t="s">
        <v>7</v>
      </c>
    </row>
    <row r="11" spans="1:1" ht="24" customHeight="1" x14ac:dyDescent="0.25">
      <c r="A11" s="2" t="s">
        <v>8</v>
      </c>
    </row>
    <row r="12" spans="1:1" ht="24" customHeight="1" x14ac:dyDescent="0.25">
      <c r="A12" s="2" t="s">
        <v>9</v>
      </c>
    </row>
    <row r="13" spans="1:1" ht="24" customHeight="1" x14ac:dyDescent="0.25">
      <c r="A13" s="2" t="s">
        <v>10</v>
      </c>
    </row>
    <row r="14" spans="1:1" ht="24" customHeight="1" x14ac:dyDescent="0.25">
      <c r="A14" s="2" t="s">
        <v>11</v>
      </c>
    </row>
    <row r="15" spans="1:1" ht="24" customHeight="1" x14ac:dyDescent="0.25">
      <c r="A15" s="2" t="s">
        <v>12</v>
      </c>
    </row>
    <row r="16" spans="1:1" ht="24" customHeight="1" x14ac:dyDescent="0.25">
      <c r="A16" s="3" t="s">
        <v>13</v>
      </c>
    </row>
    <row r="17" spans="1:1" ht="24" customHeight="1" x14ac:dyDescent="0.25">
      <c r="A17" s="2" t="s">
        <v>14</v>
      </c>
    </row>
    <row r="18" spans="1:1" ht="24" customHeight="1" x14ac:dyDescent="0.25">
      <c r="A18" s="2"/>
    </row>
    <row r="19" spans="1:1" ht="24" customHeight="1" x14ac:dyDescent="0.25">
      <c r="A19" s="3" t="s">
        <v>15</v>
      </c>
    </row>
    <row r="20" spans="1:1" ht="24" customHeight="1" x14ac:dyDescent="0.25">
      <c r="A20" s="2" t="s">
        <v>16</v>
      </c>
    </row>
    <row r="21" spans="1:1" ht="24" customHeight="1" x14ac:dyDescent="0.25">
      <c r="A21" s="2"/>
    </row>
    <row r="22" spans="1:1" ht="24" customHeight="1" x14ac:dyDescent="0.25">
      <c r="A22" s="3" t="s">
        <v>17</v>
      </c>
    </row>
    <row r="23" spans="1:1" ht="24" customHeight="1" x14ac:dyDescent="0.25">
      <c r="A23" s="2" t="s">
        <v>18</v>
      </c>
    </row>
    <row r="24" spans="1:1" ht="24" customHeight="1" x14ac:dyDescent="0.25">
      <c r="A2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21"/>
  <sheetViews>
    <sheetView showGridLines="0" tabSelected="1" zoomScale="75" workbookViewId="0">
      <pane xSplit="2" ySplit="1" topLeftCell="C2" activePane="bottomRight" state="frozen"/>
      <selection pane="topRight"/>
      <selection pane="bottomLeft"/>
      <selection pane="bottomRight" activeCell="D9" sqref="D9"/>
    </sheetView>
  </sheetViews>
  <sheetFormatPr defaultRowHeight="15" x14ac:dyDescent="0.25"/>
  <cols>
    <col min="1" max="2" width="12" customWidth="1"/>
    <col min="3" max="3" width="32" customWidth="1"/>
    <col min="4" max="5" width="28" customWidth="1"/>
    <col min="6" max="6" width="18" customWidth="1"/>
    <col min="7" max="7" width="9" customWidth="1"/>
    <col min="8" max="8" width="15" customWidth="1"/>
    <col min="9" max="9" width="34" customWidth="1"/>
    <col min="10" max="10" width="40" customWidth="1"/>
    <col min="11" max="12" width="30.42578125" style="15" customWidth="1"/>
    <col min="13" max="13" width="29.140625" style="15" customWidth="1"/>
    <col min="14" max="14" width="16" customWidth="1"/>
    <col min="15" max="15" width="30" customWidth="1"/>
    <col min="16" max="16" width="55" customWidth="1"/>
    <col min="17" max="17" width="30" customWidth="1"/>
    <col min="18" max="20" width="45" customWidth="1"/>
    <col min="21" max="21" width="34" customWidth="1"/>
    <col min="22" max="22" width="40" customWidth="1"/>
    <col min="23" max="24" width="13" customWidth="1"/>
    <col min="25" max="25" width="24" customWidth="1"/>
    <col min="26" max="26" width="25" customWidth="1"/>
    <col min="27" max="27" width="95" customWidth="1"/>
  </cols>
  <sheetData>
    <row r="1" spans="1:27" ht="42" customHeight="1" x14ac:dyDescent="0.25">
      <c r="A1" s="4" t="s">
        <v>19</v>
      </c>
      <c r="B1" s="4" t="s">
        <v>20</v>
      </c>
      <c r="C1" s="4" t="s">
        <v>21</v>
      </c>
      <c r="D1" s="4" t="s">
        <v>22</v>
      </c>
      <c r="E1" s="4" t="s">
        <v>23</v>
      </c>
      <c r="F1" s="4" t="s">
        <v>24</v>
      </c>
      <c r="G1" s="4" t="s">
        <v>25</v>
      </c>
      <c r="H1" s="4" t="s">
        <v>26</v>
      </c>
      <c r="I1" s="4" t="s">
        <v>27</v>
      </c>
      <c r="J1" s="4" t="s">
        <v>28</v>
      </c>
      <c r="K1" s="11" t="s">
        <v>29</v>
      </c>
      <c r="L1" s="11" t="s">
        <v>30</v>
      </c>
      <c r="M1" s="11" t="s">
        <v>31</v>
      </c>
      <c r="N1" s="4" t="s">
        <v>32</v>
      </c>
      <c r="O1" s="4" t="s">
        <v>33</v>
      </c>
      <c r="P1" s="4" t="s">
        <v>34</v>
      </c>
      <c r="Q1" s="18" t="s">
        <v>73</v>
      </c>
      <c r="R1" s="18" t="s">
        <v>74</v>
      </c>
      <c r="S1" s="18" t="s">
        <v>72</v>
      </c>
      <c r="T1" s="18" t="s">
        <v>75</v>
      </c>
      <c r="U1" s="4" t="s">
        <v>35</v>
      </c>
      <c r="V1" s="4" t="s">
        <v>36</v>
      </c>
      <c r="W1" s="4" t="s">
        <v>37</v>
      </c>
      <c r="X1" s="4" t="s">
        <v>38</v>
      </c>
      <c r="Y1" s="4" t="s">
        <v>39</v>
      </c>
      <c r="Z1" s="4" t="s">
        <v>40</v>
      </c>
      <c r="AA1" s="4" t="s">
        <v>41</v>
      </c>
    </row>
    <row r="2" spans="1:27" ht="54" customHeight="1" x14ac:dyDescent="0.3">
      <c r="A2" s="5" t="s">
        <v>63</v>
      </c>
      <c r="B2" s="5" t="s">
        <v>63</v>
      </c>
      <c r="C2" s="10" t="s">
        <v>64</v>
      </c>
      <c r="D2" s="10" t="s">
        <v>66</v>
      </c>
      <c r="E2" s="16" t="s">
        <v>69</v>
      </c>
      <c r="F2" s="10" t="s">
        <v>67</v>
      </c>
      <c r="G2" s="5" t="s">
        <v>68</v>
      </c>
      <c r="H2" s="19"/>
      <c r="I2" s="5" t="s">
        <v>65</v>
      </c>
      <c r="J2" s="5" t="s">
        <v>79</v>
      </c>
      <c r="K2" s="12">
        <v>46298</v>
      </c>
      <c r="L2" s="13">
        <v>46341</v>
      </c>
      <c r="M2" s="14">
        <v>46298</v>
      </c>
      <c r="N2" s="10" t="s">
        <v>92</v>
      </c>
      <c r="O2" s="10" t="s">
        <v>81</v>
      </c>
      <c r="P2" s="17" t="s">
        <v>70</v>
      </c>
      <c r="Q2" s="10" t="s">
        <v>76</v>
      </c>
      <c r="R2" s="10" t="s">
        <v>71</v>
      </c>
      <c r="S2" s="10" t="s">
        <v>77</v>
      </c>
      <c r="T2" s="10" t="s">
        <v>78</v>
      </c>
      <c r="U2" s="5"/>
      <c r="V2" s="10" t="s">
        <v>80</v>
      </c>
      <c r="W2" s="20" t="s">
        <v>102</v>
      </c>
      <c r="X2" s="9">
        <f t="shared" ref="X2:X21" si="0">IF(C2="","",IF(W2="Current",1,IF(W2="Upcoming",2,3))*10000+IF(W2="Past",9999-K2,K2-DATE(2000,1,1)))</f>
        <v>19772</v>
      </c>
      <c r="Y2" s="9" t="str">
        <f t="shared" ref="Y2:Y21" si="1">IF(C2="","",IF(K2=L2,TEXT(K2,"mmmm d, yyyy"),IF(YEAR(K2)=YEAR(L2),TEXT(K2,"mmmm d")&amp;"–"&amp;TEXT(L2,"mmmm d, yyyy"),TEXT(K2,"mmmm d, yyyy")&amp;"–"&amp;TEXT(L2,"mmmm d, yyyy"))))</f>
        <v>October 3–November 15, 2026</v>
      </c>
      <c r="Z2" s="9" t="str">
        <f t="shared" ref="Z2:Z21" si="2">IF(C2="","",LOWER(SUBSTITUTE(SUBSTITUTE(SUBSTITUTE(SUBSTITUTE(TRIM(C2)," ","-"),"&amp;","and"),"’",""),"'","")))</f>
        <v>a-life-worth-living---the-search-for-meaning</v>
      </c>
      <c r="AA2" s="9" t="str">
        <f t="shared" ref="AA2:AA21" si="3">IF(OR(A2&lt;&gt;"Yes",C2=""),"","&lt;article class=""exhibition-card"" id="""&amp;Z2&amp;"""&gt;"&amp;IF(Q2&lt;&gt;"","&lt;img src=""images/"&amp;Q2&amp;""" alt="""&amp;R2&amp;"""&gt;","")&amp;"&lt;div class=""exhibition-info""&gt;&lt;p class=""eyebrow""&gt;"&amp;W2&amp;"&lt;/p&gt;&lt;h2&gt;"&amp;C2&amp;"&lt;/h2&gt;"&amp;"&lt;p&gt;&lt;strong&gt;"&amp;D2&amp;"&lt;/strong&gt; · "&amp;F2&amp;", "&amp;G2&amp;"&lt;/p&gt;&lt;p&gt;"&amp;Y2&amp;"&lt;/p&gt;&lt;p&gt;"&amp;P2&amp;"&lt;/p&gt;"&amp;IF(J2&lt;&gt;"","&lt;p&gt;&lt;a class=""button"" href="""&amp;J2&amp;""" target=""_blank"" rel=""noopener noreferrer""&gt;View official show details&lt;/a&gt;&lt;/p&gt;","")&amp;IF(I2&lt;&gt;"","&lt;p&gt;&lt;a href="""&amp;I2&amp;""" target=""_blank"" rel=""noopener noreferrer""&gt;Visit the venue website&lt;/a&gt;&lt;/p&gt;","")&amp;IF(U2&lt;&gt;"","&lt;p&gt;&lt;a href="""&amp;U2&amp;""" target=""_blank"" rel=""noopener noreferrer""&gt;Tickets or registration&lt;/a&gt;&lt;/p&gt;","")&amp;"&lt;/div&gt;&lt;/article&gt;")</f>
        <v>&lt;article class="exhibition-card" id="a-life-worth-living---the-search-for-meaning"&gt;&lt;img src="images/MFA1.jpg" alt="Artists List"&gt;&lt;div class="exhibition-info"&gt;&lt;p class="eyebrow"&gt;Current&lt;/p&gt;&lt;h2&gt;A Life Worth Living - The Search for Meaning&lt;/h2&gt;&lt;p&gt;&lt;strong&gt;MFA: Modern Fossils Art Gallery&lt;/strong&gt; · Frenchtown, NJ&lt;/p&gt;&lt;p&gt;October 3–November 15, 2026&lt;/p&gt;&lt;p&gt;MFA Gallery presents our Juried Group Exhibition entitled
“A Life Worth Living: The Search for Meaning”
This Exhibition will feature artwork from numerous selected artists,
in a wide variety of mediums, each depicting
different aspects of that which gives meaning to their lives.&lt;/p&gt;&lt;p&gt;&lt;a class="button" href="https://careers-app-shopify.s3.ap-south-1.amazonaws.com/prod/2541/43911/v1789754302323/image_large.webp" target="_blank" rel="noopener noreferrer"&gt;View official show details&lt;/a&gt;&lt;/p&gt;&lt;p&gt;&lt;a href="https://modernfossils.net/" target="_blank" rel="noopener noreferrer"&gt;Visit the venue website&lt;/a&gt;&lt;/p&gt;&lt;/div&gt;&lt;/article&gt;</v>
      </c>
    </row>
    <row r="3" spans="1:27" ht="54" customHeight="1" x14ac:dyDescent="0.25">
      <c r="A3" s="5" t="s">
        <v>63</v>
      </c>
      <c r="B3" s="5" t="s">
        <v>63</v>
      </c>
      <c r="C3" s="10" t="s">
        <v>82</v>
      </c>
      <c r="D3" s="10" t="s">
        <v>83</v>
      </c>
      <c r="E3" s="10" t="s">
        <v>84</v>
      </c>
      <c r="F3" s="10" t="s">
        <v>85</v>
      </c>
      <c r="G3" s="5" t="s">
        <v>86</v>
      </c>
      <c r="H3" s="5">
        <v>18042</v>
      </c>
      <c r="I3" s="5" t="s">
        <v>87</v>
      </c>
      <c r="J3" s="16" t="s">
        <v>89</v>
      </c>
      <c r="K3" s="14">
        <v>46305</v>
      </c>
      <c r="L3" s="14">
        <v>46340</v>
      </c>
      <c r="M3" s="13" t="s">
        <v>90</v>
      </c>
      <c r="N3" s="10" t="s">
        <v>91</v>
      </c>
      <c r="O3" s="10" t="s">
        <v>93</v>
      </c>
      <c r="P3" s="10" t="s">
        <v>88</v>
      </c>
      <c r="Q3" s="10" t="s">
        <v>99</v>
      </c>
      <c r="R3" s="10" t="s">
        <v>78</v>
      </c>
      <c r="S3" s="5"/>
      <c r="T3" s="5"/>
      <c r="U3" s="5"/>
      <c r="V3" s="5"/>
      <c r="W3" s="9" t="str">
        <f>IF(C3="","",IF(L3&lt;'Page Settings'!$B$9,"Past",IF(K3&gt;'Page Settings'!$B$9,"Upcoming","Current")))</f>
        <v>Upcoming</v>
      </c>
      <c r="X3" s="9">
        <f t="shared" si="0"/>
        <v>29779</v>
      </c>
      <c r="Y3" s="9" t="str">
        <f t="shared" si="1"/>
        <v>October 10–November 14, 2026</v>
      </c>
      <c r="Z3" s="9" t="str">
        <f t="shared" si="2"/>
        <v>memento-mori-ii</v>
      </c>
      <c r="AA3" s="9" t="str">
        <f t="shared" si="3"/>
        <v>&lt;article class="exhibition-card" id="memento-mori-ii"&gt;&lt;img src="images/Mori.jpg" alt="Exhibition Flyer"&gt;&lt;div class="exhibition-info"&gt;&lt;p class="eyebrow"&gt;Upcoming&lt;/p&gt;&lt;h2&gt;Memento Mori II&lt;/h2&gt;&lt;p&gt;&lt;strong&gt;Connexions Gallery&lt;/strong&gt; · Easton, PA&lt;/p&gt;&lt;p&gt;October 10–November 14, 2026&lt;/p&gt;&lt;p&gt;Mommento Mori is Latin for "remember that we must die".  It's an artistic symbol or trope acting as a reminder of the inevitability of death.  Think skulls, graveyards, certain birtds and animals like  crows, ravens, vultures, candles, rotting fruit, wilited flowers... subtle or overt.&lt;/p&gt;&lt;p&gt;&lt;a class="button" href="https://www.facebook.com/share/14s9MYU7CsR/?mibextid=wwXIfr" target="_blank" rel="noopener noreferrer"&gt;View official show details&lt;/a&gt;&lt;/p&gt;&lt;p&gt;&lt;a href="https://www.connexionsgallery.com/" target="_blank" rel="noopener noreferrer"&gt;Visit the venue website&lt;/a&gt;&lt;/p&gt;&lt;/div&gt;&lt;/article&gt;</v>
      </c>
    </row>
    <row r="4" spans="1:27" ht="54" customHeight="1" x14ac:dyDescent="0.25">
      <c r="A4" s="5" t="s">
        <v>63</v>
      </c>
      <c r="B4" s="5" t="s">
        <v>42</v>
      </c>
      <c r="C4" s="10" t="s">
        <v>94</v>
      </c>
      <c r="D4" s="10" t="s">
        <v>95</v>
      </c>
      <c r="E4" s="10" t="s">
        <v>96</v>
      </c>
      <c r="F4" s="10" t="s">
        <v>97</v>
      </c>
      <c r="G4" s="5" t="s">
        <v>68</v>
      </c>
      <c r="H4" s="5"/>
      <c r="I4" s="5"/>
      <c r="J4" s="13" t="s">
        <v>98</v>
      </c>
      <c r="K4" s="22">
        <v>45975</v>
      </c>
      <c r="L4" s="22">
        <v>45984</v>
      </c>
      <c r="M4" s="13" t="s">
        <v>98</v>
      </c>
      <c r="N4" s="5"/>
      <c r="O4" s="5"/>
      <c r="P4" s="10" t="s">
        <v>101</v>
      </c>
      <c r="Q4" s="10" t="s">
        <v>100</v>
      </c>
      <c r="R4" s="10" t="s">
        <v>78</v>
      </c>
      <c r="S4" s="5"/>
      <c r="T4" s="5"/>
      <c r="U4" s="5"/>
      <c r="V4" s="5"/>
      <c r="W4" s="9" t="str">
        <f>IF(C4="","",IF(L4&lt;'Page Settings'!$B$9,"Past",IF(K4&gt;'Page Settings'!$B$9,"Upcoming","Current")))</f>
        <v>Past</v>
      </c>
      <c r="X4" s="9">
        <f t="shared" si="0"/>
        <v>-5976</v>
      </c>
      <c r="Y4" s="9" t="str">
        <f t="shared" si="1"/>
        <v>November 14–November 23, 2025</v>
      </c>
      <c r="Z4" s="9" t="str">
        <f t="shared" si="2"/>
        <v>paws-paint-+-purpose.-animal-themed-art-exhibit</v>
      </c>
      <c r="AA4" s="9" t="str">
        <f t="shared" si="3"/>
        <v>&lt;article class="exhibition-card" id="paws-paint-+-purpose.-animal-themed-art-exhibit"&gt;&lt;img src="images/Paws.jpg" alt="Exhibition Flyer"&gt;&lt;div class="exhibition-info"&gt;&lt;p class="eyebrow"&gt;Past&lt;/p&gt;&lt;h2&gt;Paws-Paint + Purpose.  Animal Themed Art Exhibit&lt;/h2&gt;&lt;p&gt;&lt;strong&gt;Whitespace Art + Event Gallery&lt;/strong&gt; · Hackettstown , NJ&lt;/p&gt;&lt;p&gt;November 14–November 23, 2025&lt;/p&gt;&lt;p&gt;Painting for a cause.  Percentage of sales go to support local animal rescue.  Animal themed art.&lt;/p&gt;&lt;p&gt;&lt;a class="button" href="Event Conculded" target="_blank" rel="noopener noreferrer"&gt;View official show details&lt;/a&gt;&lt;/p&gt;&lt;/div&gt;&lt;/article&gt;</v>
      </c>
    </row>
    <row r="5" spans="1:27" ht="54" customHeight="1" x14ac:dyDescent="0.25">
      <c r="A5" s="5" t="s">
        <v>63</v>
      </c>
      <c r="B5" s="5" t="s">
        <v>42</v>
      </c>
      <c r="C5" s="10" t="s">
        <v>103</v>
      </c>
      <c r="D5" s="10" t="s">
        <v>104</v>
      </c>
      <c r="E5" s="10" t="s">
        <v>107</v>
      </c>
      <c r="F5" s="10" t="s">
        <v>108</v>
      </c>
      <c r="G5" s="5" t="s">
        <v>109</v>
      </c>
      <c r="H5" s="5"/>
      <c r="I5" s="5" t="s">
        <v>106</v>
      </c>
      <c r="J5" s="5" t="s">
        <v>105</v>
      </c>
      <c r="K5" s="21">
        <v>45780</v>
      </c>
      <c r="L5" s="21">
        <v>45807</v>
      </c>
      <c r="M5" s="13" t="s">
        <v>98</v>
      </c>
      <c r="N5" s="5"/>
      <c r="O5" s="5"/>
      <c r="P5" s="10" t="s">
        <v>110</v>
      </c>
      <c r="Q5" s="10" t="s">
        <v>111</v>
      </c>
      <c r="R5" s="10" t="s">
        <v>78</v>
      </c>
      <c r="S5" s="5"/>
      <c r="T5" s="5"/>
      <c r="U5" s="5"/>
      <c r="V5" s="5"/>
      <c r="W5" s="9" t="str">
        <f>IF(C5="","",IF(L5&lt;'Page Settings'!$B$9,"Past",IF(K5&gt;'Page Settings'!$B$9,"Upcoming","Current")))</f>
        <v>Past</v>
      </c>
      <c r="X5" s="9">
        <f t="shared" si="0"/>
        <v>-5781</v>
      </c>
      <c r="Y5" s="9" t="str">
        <f t="shared" si="1"/>
        <v>May 3–May 30, 2025</v>
      </c>
      <c r="Z5" s="9" t="str">
        <f t="shared" si="2"/>
        <v>emotional-connections-in-art</v>
      </c>
      <c r="AA5" s="9" t="str">
        <f t="shared" si="3"/>
        <v>&lt;article class="exhibition-card" id="emotional-connections-in-art"&gt;&lt;img src="images/Mills.jpg" alt="Exhibition Flyer"&gt;&lt;div class="exhibition-info"&gt;&lt;p class="eyebrow"&gt;Past&lt;/p&gt;&lt;h2&gt;Emotional Connections in Art&lt;/h2&gt;&lt;p&gt;&lt;strong&gt;Mills Pond Gallery&lt;/strong&gt; · Saint James, NY&lt;/p&gt;&lt;p&gt;May 3–May 30, 2025&lt;/p&gt;&lt;p&gt;The Human Connection Through Art&lt;/p&gt;&lt;p&gt;&lt;a class="button" href="https://www.millspondgallery.org/past-exhibitions-1#/between-artistartwork-and-audience" target="_blank" rel="noopener noreferrer"&gt;View official show details&lt;/a&gt;&lt;/p&gt;&lt;p&gt;&lt;a href="https://www.millspondgallery.org/" target="_blank" rel="noopener noreferrer"&gt;Visit the venue website&lt;/a&gt;&lt;/p&gt;&lt;/div&gt;&lt;/article&gt;</v>
      </c>
    </row>
    <row r="6" spans="1:27" ht="54" customHeight="1" x14ac:dyDescent="0.25">
      <c r="A6" s="5" t="s">
        <v>63</v>
      </c>
      <c r="B6" s="5" t="s">
        <v>42</v>
      </c>
      <c r="C6" s="10" t="s">
        <v>112</v>
      </c>
      <c r="D6" s="10" t="s">
        <v>113</v>
      </c>
      <c r="E6" s="10" t="s">
        <v>115</v>
      </c>
      <c r="F6" s="10" t="s">
        <v>116</v>
      </c>
      <c r="G6" s="10" t="s">
        <v>117</v>
      </c>
      <c r="H6" s="5"/>
      <c r="I6" s="5" t="s">
        <v>118</v>
      </c>
      <c r="J6" s="5" t="s">
        <v>119</v>
      </c>
      <c r="K6" s="21">
        <v>45605</v>
      </c>
      <c r="L6" s="21">
        <v>45626</v>
      </c>
      <c r="M6" s="13" t="s">
        <v>98</v>
      </c>
      <c r="N6" s="5"/>
      <c r="O6" s="5"/>
      <c r="P6" s="10" t="s">
        <v>114</v>
      </c>
      <c r="Q6" s="10" t="s">
        <v>120</v>
      </c>
      <c r="R6" s="10" t="s">
        <v>78</v>
      </c>
      <c r="S6" s="5"/>
      <c r="T6" s="5"/>
      <c r="U6" s="5"/>
      <c r="V6" s="5"/>
      <c r="W6" s="9" t="str">
        <f>IF(C6="","",IF(L6&lt;'Page Settings'!$B$9,"Past",IF(K6&gt;'Page Settings'!$B$9,"Upcoming","Current")))</f>
        <v>Past</v>
      </c>
      <c r="X6" s="9">
        <f t="shared" si="0"/>
        <v>-5606</v>
      </c>
      <c r="Y6" s="9" t="str">
        <f t="shared" si="1"/>
        <v>November 9–November 30, 2024</v>
      </c>
      <c r="Z6" s="9" t="str">
        <f t="shared" si="2"/>
        <v>perfectly-imperfect-|-international-art-exhibit</v>
      </c>
      <c r="AA6" s="9" t="str">
        <f t="shared" si="3"/>
        <v>&lt;article class="exhibition-card" id="perfectly-imperfect-|-international-art-exhibit"&gt;&lt;img src="images/imperfect.jpg" alt="Exhibition Flyer"&gt;&lt;div class="exhibition-info"&gt;&lt;p class="eyebrow"&gt;Past&lt;/p&gt;&lt;h2&gt;Perfectly Imperfect | International art exhibit&lt;/h2&gt;&lt;p&gt;&lt;strong&gt;Inperfecta&lt;/strong&gt; · Portland, OR&lt;/p&gt;&lt;p&gt;November 9–November 30, 2024&lt;/p&gt;&lt;p&gt;The Imperfecta Art &amp; Design Gallery is pleased to present Perfectly Imperfect, a group art show that features 27 artists based in the US, UK, Italy, Spain, Chile and Mexico. Artists were challenged to explore notions of imperfection and the beauty of imperfect uniqueness by creating monochromatic artworks in any medium.&lt;/p&gt;&lt;p&gt;&lt;a class="button" href="https://www.prlog.org/13042792-perfectly-imperfect-international-art-exhibit.html" target="_blank" rel="noopener noreferrer"&gt;View official show details&lt;/a&gt;&lt;/p&gt;&lt;p&gt;&lt;a href="https://www.imperfecta.xyz/" target="_blank" rel="noopener noreferrer"&gt;Visit the venue website&lt;/a&gt;&lt;/p&gt;&lt;/div&gt;&lt;/article&gt;</v>
      </c>
    </row>
    <row r="7" spans="1:27" ht="54" customHeight="1" x14ac:dyDescent="0.25">
      <c r="A7" s="5" t="s">
        <v>42</v>
      </c>
      <c r="B7" s="5" t="s">
        <v>42</v>
      </c>
      <c r="C7" s="5"/>
      <c r="D7" s="5"/>
      <c r="E7" s="5"/>
      <c r="F7" s="5"/>
      <c r="G7" s="5"/>
      <c r="H7" s="5"/>
      <c r="I7" s="5"/>
      <c r="J7" s="5"/>
      <c r="K7" s="14"/>
      <c r="L7" s="14"/>
      <c r="M7" s="14"/>
      <c r="N7" s="5"/>
      <c r="O7" s="5"/>
      <c r="P7" s="5"/>
      <c r="Q7" s="5"/>
      <c r="R7" s="5"/>
      <c r="S7" s="5"/>
      <c r="T7" s="5"/>
      <c r="U7" s="5"/>
      <c r="V7" s="5"/>
      <c r="W7" s="9" t="str">
        <f>IF(C7="","",IF(L7&lt;'Page Settings'!$B$9,"Past",IF(K7&gt;'Page Settings'!$B$9,"Upcoming","Current")))</f>
        <v/>
      </c>
      <c r="X7" s="9" t="str">
        <f t="shared" ref="X7" si="4">IF(C7="","",IF(W7="Current",1,IF(W7="Upcoming",2,3))*10000+IF(W7="Past",9999-K7,K7-DATE(2000,1,1)))</f>
        <v/>
      </c>
      <c r="Y7" s="9" t="str">
        <f t="shared" ref="Y7" si="5">IF(C7="","",IF(K7=L7,TEXT(K7,"mmmm d, yyyy"),IF(YEAR(K7)=YEAR(L7),TEXT(K7,"mmmm d")&amp;"–"&amp;TEXT(L7,"mmmm d, yyyy"),TEXT(K7,"mmmm d, yyyy")&amp;"–"&amp;TEXT(L7,"mmmm d, yyyy"))))</f>
        <v/>
      </c>
      <c r="Z7" s="9" t="str">
        <f t="shared" ref="Z7" si="6">IF(C7="","",LOWER(SUBSTITUTE(SUBSTITUTE(SUBSTITUTE(SUBSTITUTE(TRIM(C7)," ","-"),"&amp;","and"),"’",""),"'","")))</f>
        <v/>
      </c>
      <c r="AA7" s="9" t="str">
        <f t="shared" ref="AA7" si="7">IF(OR(A7&lt;&gt;"Yes",C7=""),"","&lt;article class=""exhibition-card"" id="""&amp;Z7&amp;"""&gt;"&amp;IF(Q7&lt;&gt;"","&lt;img src=""images/"&amp;Q7&amp;""" alt="""&amp;R7&amp;"""&gt;","")&amp;"&lt;div class=""exhibition-info""&gt;&lt;p class=""eyebrow""&gt;"&amp;W7&amp;"&lt;/p&gt;&lt;h2&gt;"&amp;C7&amp;"&lt;/h2&gt;"&amp;"&lt;p&gt;&lt;strong&gt;"&amp;D7&amp;"&lt;/strong&gt; · "&amp;F7&amp;", "&amp;G7&amp;"&lt;/p&gt;&lt;p&gt;"&amp;Y7&amp;"&lt;/p&gt;&lt;p&gt;"&amp;P7&amp;"&lt;/p&gt;"&amp;IF(J7&lt;&gt;"","&lt;p&gt;&lt;a class=""button"" href="""&amp;J7&amp;""" target=""_blank"" rel=""noopener noreferrer""&gt;View official show details&lt;/a&gt;&lt;/p&gt;","")&amp;IF(I7&lt;&gt;"","&lt;p&gt;&lt;a href="""&amp;I7&amp;""" target=""_blank"" rel=""noopener noreferrer""&gt;Visit the venue website&lt;/a&gt;&lt;/p&gt;","")&amp;IF(U7&lt;&gt;"","&lt;p&gt;&lt;a href="""&amp;U7&amp;""" target=""_blank"" rel=""noopener noreferrer""&gt;Tickets or registration&lt;/a&gt;&lt;/p&gt;","")&amp;"&lt;/div&gt;&lt;/article&gt;")</f>
        <v/>
      </c>
    </row>
    <row r="8" spans="1:27" ht="54" customHeight="1" x14ac:dyDescent="0.25">
      <c r="A8" s="5" t="s">
        <v>42</v>
      </c>
      <c r="B8" s="5" t="s">
        <v>42</v>
      </c>
      <c r="C8" s="5"/>
      <c r="D8" s="5"/>
      <c r="E8" s="5"/>
      <c r="F8" s="5"/>
      <c r="G8" s="5"/>
      <c r="H8" s="5"/>
      <c r="I8" s="5"/>
      <c r="J8" s="5"/>
      <c r="K8" s="14"/>
      <c r="L8" s="14"/>
      <c r="M8" s="14"/>
      <c r="N8" s="5"/>
      <c r="O8" s="5"/>
      <c r="P8" s="5"/>
      <c r="Q8" s="5"/>
      <c r="R8" s="5"/>
      <c r="S8" s="5"/>
      <c r="T8" s="5"/>
      <c r="U8" s="5"/>
      <c r="V8" s="5"/>
      <c r="W8" s="9" t="str">
        <f>IF(C8="","",IF(L8&lt;'Page Settings'!$B$9,"Past",IF(K8&gt;'Page Settings'!$B$9,"Upcoming","Current")))</f>
        <v/>
      </c>
      <c r="X8" s="9" t="str">
        <f t="shared" si="0"/>
        <v/>
      </c>
      <c r="Y8" s="9" t="str">
        <f t="shared" si="1"/>
        <v/>
      </c>
      <c r="Z8" s="9" t="str">
        <f t="shared" si="2"/>
        <v/>
      </c>
      <c r="AA8" s="9" t="str">
        <f t="shared" si="3"/>
        <v/>
      </c>
    </row>
    <row r="9" spans="1:27" ht="54" customHeight="1" x14ac:dyDescent="0.25">
      <c r="A9" s="5" t="s">
        <v>42</v>
      </c>
      <c r="B9" s="5" t="s">
        <v>42</v>
      </c>
      <c r="C9" s="5"/>
      <c r="D9" s="5"/>
      <c r="E9" s="5"/>
      <c r="F9" s="5"/>
      <c r="G9" s="5"/>
      <c r="H9" s="5"/>
      <c r="I9" s="5"/>
      <c r="J9" s="5"/>
      <c r="K9" s="14"/>
      <c r="L9" s="14"/>
      <c r="M9" s="14"/>
      <c r="N9" s="5"/>
      <c r="O9" s="5"/>
      <c r="P9" s="5"/>
      <c r="Q9" s="5"/>
      <c r="R9" s="5"/>
      <c r="S9" s="5"/>
      <c r="T9" s="5"/>
      <c r="U9" s="5"/>
      <c r="V9" s="5"/>
      <c r="W9" s="9" t="str">
        <f>IF(C9="","",IF(L9&lt;'Page Settings'!$B$9,"Past",IF(K9&gt;'Page Settings'!$B$9,"Upcoming","Current")))</f>
        <v/>
      </c>
      <c r="X9" s="9" t="str">
        <f t="shared" si="0"/>
        <v/>
      </c>
      <c r="Y9" s="9" t="str">
        <f t="shared" si="1"/>
        <v/>
      </c>
      <c r="Z9" s="9" t="str">
        <f t="shared" si="2"/>
        <v/>
      </c>
      <c r="AA9" s="9" t="str">
        <f t="shared" si="3"/>
        <v/>
      </c>
    </row>
    <row r="10" spans="1:27" ht="54" customHeight="1" x14ac:dyDescent="0.25">
      <c r="A10" s="5" t="s">
        <v>42</v>
      </c>
      <c r="B10" s="5" t="s">
        <v>42</v>
      </c>
      <c r="C10" s="5"/>
      <c r="D10" s="5"/>
      <c r="E10" s="5"/>
      <c r="F10" s="5"/>
      <c r="G10" s="5"/>
      <c r="H10" s="5"/>
      <c r="I10" s="5"/>
      <c r="J10" s="5"/>
      <c r="K10" s="14"/>
      <c r="L10" s="14"/>
      <c r="M10" s="14"/>
      <c r="N10" s="5"/>
      <c r="O10" s="5"/>
      <c r="P10" s="5"/>
      <c r="Q10" s="5"/>
      <c r="R10" s="5"/>
      <c r="S10" s="5"/>
      <c r="T10" s="5"/>
      <c r="U10" s="5"/>
      <c r="V10" s="5"/>
      <c r="W10" s="9" t="str">
        <f>IF(C10="","",IF(L10&lt;'Page Settings'!$B$9,"Past",IF(K10&gt;'Page Settings'!$B$9,"Upcoming","Current")))</f>
        <v/>
      </c>
      <c r="X10" s="9" t="str">
        <f t="shared" si="0"/>
        <v/>
      </c>
      <c r="Y10" s="9" t="str">
        <f t="shared" si="1"/>
        <v/>
      </c>
      <c r="Z10" s="9" t="str">
        <f t="shared" si="2"/>
        <v/>
      </c>
      <c r="AA10" s="9" t="str">
        <f t="shared" si="3"/>
        <v/>
      </c>
    </row>
    <row r="11" spans="1:27" ht="54" customHeight="1" x14ac:dyDescent="0.25">
      <c r="A11" s="5" t="s">
        <v>42</v>
      </c>
      <c r="B11" s="5" t="s">
        <v>42</v>
      </c>
      <c r="C11" s="5"/>
      <c r="D11" s="5"/>
      <c r="E11" s="5"/>
      <c r="F11" s="5"/>
      <c r="G11" s="5"/>
      <c r="H11" s="5"/>
      <c r="I11" s="5"/>
      <c r="J11" s="5"/>
      <c r="K11" s="14"/>
      <c r="L11" s="14"/>
      <c r="M11" s="14"/>
      <c r="N11" s="5"/>
      <c r="O11" s="5"/>
      <c r="P11" s="5"/>
      <c r="Q11" s="5"/>
      <c r="R11" s="5"/>
      <c r="S11" s="5"/>
      <c r="T11" s="5"/>
      <c r="U11" s="5"/>
      <c r="V11" s="5"/>
      <c r="W11" s="9" t="str">
        <f>IF(C11="","",IF(L11&lt;'Page Settings'!$B$9,"Past",IF(K11&gt;'Page Settings'!$B$9,"Upcoming","Current")))</f>
        <v/>
      </c>
      <c r="X11" s="9" t="str">
        <f t="shared" si="0"/>
        <v/>
      </c>
      <c r="Y11" s="9" t="str">
        <f t="shared" si="1"/>
        <v/>
      </c>
      <c r="Z11" s="9" t="str">
        <f t="shared" si="2"/>
        <v/>
      </c>
      <c r="AA11" s="9" t="str">
        <f t="shared" si="3"/>
        <v/>
      </c>
    </row>
    <row r="12" spans="1:27" ht="54" customHeight="1" x14ac:dyDescent="0.25">
      <c r="A12" s="5" t="s">
        <v>42</v>
      </c>
      <c r="B12" s="5" t="s">
        <v>42</v>
      </c>
      <c r="C12" s="5"/>
      <c r="D12" s="5"/>
      <c r="E12" s="5"/>
      <c r="F12" s="5"/>
      <c r="G12" s="5"/>
      <c r="H12" s="5"/>
      <c r="I12" s="5"/>
      <c r="J12" s="5"/>
      <c r="K12" s="14"/>
      <c r="L12" s="14"/>
      <c r="M12" s="14"/>
      <c r="N12" s="5"/>
      <c r="O12" s="5"/>
      <c r="P12" s="5"/>
      <c r="Q12" s="5"/>
      <c r="R12" s="5"/>
      <c r="S12" s="5"/>
      <c r="T12" s="5"/>
      <c r="U12" s="5"/>
      <c r="V12" s="5"/>
      <c r="W12" s="9" t="str">
        <f>IF(C12="","",IF(L12&lt;'Page Settings'!$B$9,"Past",IF(K12&gt;'Page Settings'!$B$9,"Upcoming","Current")))</f>
        <v/>
      </c>
      <c r="X12" s="9" t="str">
        <f t="shared" si="0"/>
        <v/>
      </c>
      <c r="Y12" s="9" t="str">
        <f t="shared" si="1"/>
        <v/>
      </c>
      <c r="Z12" s="9" t="str">
        <f t="shared" si="2"/>
        <v/>
      </c>
      <c r="AA12" s="9" t="str">
        <f t="shared" si="3"/>
        <v/>
      </c>
    </row>
    <row r="13" spans="1:27" ht="54" customHeight="1" x14ac:dyDescent="0.25">
      <c r="A13" s="5" t="s">
        <v>42</v>
      </c>
      <c r="B13" s="5" t="s">
        <v>42</v>
      </c>
      <c r="C13" s="5"/>
      <c r="D13" s="5"/>
      <c r="E13" s="5"/>
      <c r="F13" s="5"/>
      <c r="G13" s="5"/>
      <c r="H13" s="5"/>
      <c r="I13" s="5"/>
      <c r="J13" s="5"/>
      <c r="K13" s="14"/>
      <c r="L13" s="14"/>
      <c r="M13" s="14"/>
      <c r="N13" s="5"/>
      <c r="O13" s="5"/>
      <c r="P13" s="5"/>
      <c r="Q13" s="5"/>
      <c r="R13" s="5"/>
      <c r="S13" s="5"/>
      <c r="T13" s="5"/>
      <c r="U13" s="5"/>
      <c r="V13" s="5"/>
      <c r="W13" s="9" t="str">
        <f>IF(C13="","",IF(L13&lt;'Page Settings'!$B$9,"Past",IF(K13&gt;'Page Settings'!$B$9,"Upcoming","Current")))</f>
        <v/>
      </c>
      <c r="X13" s="9" t="str">
        <f t="shared" si="0"/>
        <v/>
      </c>
      <c r="Y13" s="9" t="str">
        <f t="shared" si="1"/>
        <v/>
      </c>
      <c r="Z13" s="9" t="str">
        <f t="shared" si="2"/>
        <v/>
      </c>
      <c r="AA13" s="9" t="str">
        <f t="shared" si="3"/>
        <v/>
      </c>
    </row>
    <row r="14" spans="1:27" ht="54" customHeight="1" x14ac:dyDescent="0.25">
      <c r="A14" s="5" t="s">
        <v>42</v>
      </c>
      <c r="B14" s="5" t="s">
        <v>42</v>
      </c>
      <c r="C14" s="5"/>
      <c r="D14" s="5"/>
      <c r="E14" s="5"/>
      <c r="F14" s="5"/>
      <c r="G14" s="5"/>
      <c r="H14" s="5"/>
      <c r="I14" s="5"/>
      <c r="J14" s="5"/>
      <c r="K14" s="14"/>
      <c r="L14" s="14"/>
      <c r="M14" s="14"/>
      <c r="N14" s="5"/>
      <c r="O14" s="5"/>
      <c r="P14" s="5"/>
      <c r="Q14" s="5"/>
      <c r="R14" s="5"/>
      <c r="S14" s="5"/>
      <c r="T14" s="5"/>
      <c r="U14" s="5"/>
      <c r="V14" s="5"/>
      <c r="W14" s="9" t="str">
        <f>IF(C14="","",IF(L14&lt;'Page Settings'!$B$9,"Past",IF(K14&gt;'Page Settings'!$B$9,"Upcoming","Current")))</f>
        <v/>
      </c>
      <c r="X14" s="9" t="str">
        <f t="shared" si="0"/>
        <v/>
      </c>
      <c r="Y14" s="9" t="str">
        <f t="shared" si="1"/>
        <v/>
      </c>
      <c r="Z14" s="9" t="str">
        <f t="shared" si="2"/>
        <v/>
      </c>
      <c r="AA14" s="9" t="str">
        <f t="shared" si="3"/>
        <v/>
      </c>
    </row>
    <row r="15" spans="1:27" ht="54" customHeight="1" x14ac:dyDescent="0.25">
      <c r="A15" s="5" t="s">
        <v>42</v>
      </c>
      <c r="B15" s="5" t="s">
        <v>42</v>
      </c>
      <c r="C15" s="5"/>
      <c r="D15" s="5"/>
      <c r="E15" s="5"/>
      <c r="F15" s="5"/>
      <c r="G15" s="5"/>
      <c r="H15" s="5"/>
      <c r="I15" s="5"/>
      <c r="J15" s="5"/>
      <c r="K15" s="14"/>
      <c r="L15" s="14"/>
      <c r="M15" s="14"/>
      <c r="N15" s="5"/>
      <c r="O15" s="5"/>
      <c r="P15" s="5"/>
      <c r="Q15" s="5"/>
      <c r="R15" s="5"/>
      <c r="S15" s="5"/>
      <c r="T15" s="5"/>
      <c r="U15" s="5"/>
      <c r="V15" s="5"/>
      <c r="W15" s="9" t="str">
        <f>IF(C15="","",IF(L15&lt;'Page Settings'!$B$9,"Past",IF(K15&gt;'Page Settings'!$B$9,"Upcoming","Current")))</f>
        <v/>
      </c>
      <c r="X15" s="9" t="str">
        <f t="shared" si="0"/>
        <v/>
      </c>
      <c r="Y15" s="9" t="str">
        <f t="shared" si="1"/>
        <v/>
      </c>
      <c r="Z15" s="9" t="str">
        <f t="shared" si="2"/>
        <v/>
      </c>
      <c r="AA15" s="9" t="str">
        <f t="shared" si="3"/>
        <v/>
      </c>
    </row>
    <row r="16" spans="1:27" ht="54" customHeight="1" x14ac:dyDescent="0.25">
      <c r="A16" s="5" t="s">
        <v>42</v>
      </c>
      <c r="B16" s="5" t="s">
        <v>42</v>
      </c>
      <c r="C16" s="5"/>
      <c r="D16" s="5"/>
      <c r="E16" s="5"/>
      <c r="F16" s="5"/>
      <c r="G16" s="5"/>
      <c r="H16" s="5"/>
      <c r="I16" s="5"/>
      <c r="J16" s="5"/>
      <c r="K16" s="14"/>
      <c r="L16" s="14"/>
      <c r="M16" s="14"/>
      <c r="N16" s="5"/>
      <c r="O16" s="5"/>
      <c r="P16" s="5"/>
      <c r="Q16" s="5"/>
      <c r="R16" s="5"/>
      <c r="S16" s="5"/>
      <c r="T16" s="5"/>
      <c r="U16" s="5"/>
      <c r="V16" s="5"/>
      <c r="W16" s="9" t="str">
        <f>IF(C16="","",IF(L16&lt;'Page Settings'!$B$9,"Past",IF(K16&gt;'Page Settings'!$B$9,"Upcoming","Current")))</f>
        <v/>
      </c>
      <c r="X16" s="9" t="str">
        <f t="shared" si="0"/>
        <v/>
      </c>
      <c r="Y16" s="9" t="str">
        <f t="shared" si="1"/>
        <v/>
      </c>
      <c r="Z16" s="9" t="str">
        <f t="shared" si="2"/>
        <v/>
      </c>
      <c r="AA16" s="9" t="str">
        <f t="shared" si="3"/>
        <v/>
      </c>
    </row>
    <row r="17" spans="1:27" ht="54" customHeight="1" x14ac:dyDescent="0.25">
      <c r="A17" s="5" t="s">
        <v>42</v>
      </c>
      <c r="B17" s="5" t="s">
        <v>42</v>
      </c>
      <c r="C17" s="5"/>
      <c r="D17" s="5"/>
      <c r="E17" s="5"/>
      <c r="F17" s="5"/>
      <c r="G17" s="5"/>
      <c r="H17" s="5"/>
      <c r="I17" s="5"/>
      <c r="J17" s="5"/>
      <c r="K17" s="14"/>
      <c r="L17" s="14"/>
      <c r="M17" s="14"/>
      <c r="N17" s="5"/>
      <c r="O17" s="5"/>
      <c r="P17" s="5"/>
      <c r="Q17" s="5"/>
      <c r="R17" s="5"/>
      <c r="S17" s="5"/>
      <c r="T17" s="5"/>
      <c r="U17" s="5"/>
      <c r="V17" s="5"/>
      <c r="W17" s="9" t="str">
        <f>IF(C17="","",IF(L17&lt;'Page Settings'!$B$9,"Past",IF(K17&gt;'Page Settings'!$B$9,"Upcoming","Current")))</f>
        <v/>
      </c>
      <c r="X17" s="9" t="str">
        <f t="shared" si="0"/>
        <v/>
      </c>
      <c r="Y17" s="9" t="str">
        <f t="shared" si="1"/>
        <v/>
      </c>
      <c r="Z17" s="9" t="str">
        <f t="shared" si="2"/>
        <v/>
      </c>
      <c r="AA17" s="9" t="str">
        <f t="shared" si="3"/>
        <v/>
      </c>
    </row>
    <row r="18" spans="1:27" ht="54" customHeight="1" x14ac:dyDescent="0.25">
      <c r="A18" s="5" t="s">
        <v>42</v>
      </c>
      <c r="B18" s="5" t="s">
        <v>42</v>
      </c>
      <c r="C18" s="5"/>
      <c r="D18" s="5"/>
      <c r="E18" s="5"/>
      <c r="F18" s="5"/>
      <c r="G18" s="5"/>
      <c r="H18" s="5"/>
      <c r="I18" s="5"/>
      <c r="J18" s="5"/>
      <c r="K18" s="14"/>
      <c r="L18" s="14"/>
      <c r="M18" s="14"/>
      <c r="N18" s="5"/>
      <c r="O18" s="5"/>
      <c r="P18" s="5"/>
      <c r="Q18" s="5"/>
      <c r="R18" s="5"/>
      <c r="S18" s="5"/>
      <c r="T18" s="5"/>
      <c r="U18" s="5"/>
      <c r="V18" s="5"/>
      <c r="W18" s="9" t="str">
        <f>IF(C18="","",IF(L18&lt;'Page Settings'!$B$9,"Past",IF(K18&gt;'Page Settings'!$B$9,"Upcoming","Current")))</f>
        <v/>
      </c>
      <c r="X18" s="9" t="str">
        <f t="shared" si="0"/>
        <v/>
      </c>
      <c r="Y18" s="9" t="str">
        <f t="shared" si="1"/>
        <v/>
      </c>
      <c r="Z18" s="9" t="str">
        <f t="shared" si="2"/>
        <v/>
      </c>
      <c r="AA18" s="9" t="str">
        <f t="shared" si="3"/>
        <v/>
      </c>
    </row>
    <row r="19" spans="1:27" ht="54" customHeight="1" x14ac:dyDescent="0.25">
      <c r="A19" s="5" t="s">
        <v>42</v>
      </c>
      <c r="B19" s="5" t="s">
        <v>42</v>
      </c>
      <c r="C19" s="5"/>
      <c r="D19" s="5"/>
      <c r="E19" s="5"/>
      <c r="F19" s="5"/>
      <c r="G19" s="5"/>
      <c r="H19" s="5"/>
      <c r="I19" s="5"/>
      <c r="J19" s="5"/>
      <c r="K19" s="14"/>
      <c r="L19" s="14"/>
      <c r="M19" s="14"/>
      <c r="N19" s="5"/>
      <c r="O19" s="5"/>
      <c r="P19" s="5"/>
      <c r="Q19" s="5"/>
      <c r="R19" s="5"/>
      <c r="S19" s="5"/>
      <c r="T19" s="5"/>
      <c r="U19" s="5"/>
      <c r="V19" s="5"/>
      <c r="W19" s="9" t="str">
        <f>IF(C19="","",IF(L19&lt;'Page Settings'!$B$9,"Past",IF(K19&gt;'Page Settings'!$B$9,"Upcoming","Current")))</f>
        <v/>
      </c>
      <c r="X19" s="9" t="str">
        <f t="shared" si="0"/>
        <v/>
      </c>
      <c r="Y19" s="9" t="str">
        <f t="shared" si="1"/>
        <v/>
      </c>
      <c r="Z19" s="9" t="str">
        <f t="shared" si="2"/>
        <v/>
      </c>
      <c r="AA19" s="9" t="str">
        <f t="shared" si="3"/>
        <v/>
      </c>
    </row>
    <row r="20" spans="1:27" ht="54" customHeight="1" x14ac:dyDescent="0.25">
      <c r="A20" s="5" t="s">
        <v>42</v>
      </c>
      <c r="B20" s="5" t="s">
        <v>42</v>
      </c>
      <c r="C20" s="5"/>
      <c r="D20" s="5"/>
      <c r="E20" s="5"/>
      <c r="F20" s="5"/>
      <c r="G20" s="5"/>
      <c r="H20" s="5"/>
      <c r="I20" s="5"/>
      <c r="J20" s="5"/>
      <c r="K20" s="14"/>
      <c r="L20" s="14"/>
      <c r="M20" s="14"/>
      <c r="N20" s="5"/>
      <c r="O20" s="5"/>
      <c r="P20" s="5"/>
      <c r="Q20" s="5"/>
      <c r="R20" s="5"/>
      <c r="S20" s="5"/>
      <c r="T20" s="5"/>
      <c r="U20" s="5"/>
      <c r="V20" s="5"/>
      <c r="W20" s="9" t="str">
        <f>IF(C20="","",IF(L20&lt;'Page Settings'!$B$9,"Past",IF(K20&gt;'Page Settings'!$B$9,"Upcoming","Current")))</f>
        <v/>
      </c>
      <c r="X20" s="9" t="str">
        <f t="shared" si="0"/>
        <v/>
      </c>
      <c r="Y20" s="9" t="str">
        <f t="shared" si="1"/>
        <v/>
      </c>
      <c r="Z20" s="9" t="str">
        <f t="shared" si="2"/>
        <v/>
      </c>
      <c r="AA20" s="9" t="str">
        <f t="shared" si="3"/>
        <v/>
      </c>
    </row>
    <row r="21" spans="1:27" ht="54" customHeight="1" x14ac:dyDescent="0.25">
      <c r="A21" s="5" t="s">
        <v>42</v>
      </c>
      <c r="B21" s="5" t="s">
        <v>42</v>
      </c>
      <c r="C21" s="5"/>
      <c r="D21" s="5"/>
      <c r="E21" s="5"/>
      <c r="F21" s="5"/>
      <c r="G21" s="5"/>
      <c r="H21" s="5"/>
      <c r="I21" s="5"/>
      <c r="J21" s="5"/>
      <c r="K21" s="14"/>
      <c r="L21" s="14"/>
      <c r="M21" s="14"/>
      <c r="N21" s="5"/>
      <c r="O21" s="5"/>
      <c r="P21" s="5"/>
      <c r="Q21" s="5"/>
      <c r="R21" s="5"/>
      <c r="S21" s="5"/>
      <c r="T21" s="5"/>
      <c r="U21" s="5"/>
      <c r="V21" s="5"/>
      <c r="W21" s="9" t="str">
        <f>IF(C21="","",IF(L21&lt;'Page Settings'!$B$9,"Past",IF(K21&gt;'Page Settings'!$B$9,"Upcoming","Current")))</f>
        <v/>
      </c>
      <c r="X21" s="9" t="str">
        <f t="shared" si="0"/>
        <v/>
      </c>
      <c r="Y21" s="9" t="str">
        <f t="shared" si="1"/>
        <v/>
      </c>
      <c r="Z21" s="9" t="str">
        <f t="shared" si="2"/>
        <v/>
      </c>
      <c r="AA21" s="9" t="str">
        <f t="shared" si="3"/>
        <v/>
      </c>
    </row>
  </sheetData>
  <conditionalFormatting sqref="A2:A21">
    <cfRule type="expression" dxfId="3" priority="4">
      <formula>AND($A2="Yes",$C2="")</formula>
    </cfRule>
  </conditionalFormatting>
  <conditionalFormatting sqref="W2:W21">
    <cfRule type="expression" dxfId="2" priority="1">
      <formula>$W2="Current"</formula>
    </cfRule>
    <cfRule type="expression" dxfId="1" priority="2">
      <formula>$W2="Upcoming"</formula>
    </cfRule>
    <cfRule type="expression" dxfId="0" priority="3">
      <formula>$W2="Past"</formula>
    </cfRule>
  </conditionalFormatting>
  <dataValidations count="2">
    <dataValidation type="list" sqref="A2:B21" xr:uid="{00000000-0002-0000-0100-000000000000}">
      <formula1>"Yes,No"</formula1>
    </dataValidation>
    <dataValidation type="list" allowBlank="1" sqref="G2:G21" xr:uid="{00000000-0002-0000-0100-000001000000}">
      <formula1>"NJ,NY,PA,CT,DE,MD,Other"</formula1>
    </dataValidation>
  </dataValidations>
  <hyperlinks>
    <hyperlink ref="E2" r:id="rId1" display="https://maps.google.com/?q=MFA%20Gallery:%2010%20Bridge%20St,%20Suite%207%20Frenchtown,%20NJ" xr:uid="{0818C66E-0AB4-40C4-AF8B-447B2FBC7636}"/>
    <hyperlink ref="J3" r:id="rId2" xr:uid="{130AB64A-EC29-488E-8CF2-073605DF1036}"/>
  </hyperlinks>
  <pageMargins left="0.75" right="0.75" top="1" bottom="1" header="0.5" footer="0.5"/>
  <pageSetup fitToHeight="0"/>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workbookViewId="0"/>
  </sheetViews>
  <sheetFormatPr defaultRowHeight="15" x14ac:dyDescent="0.25"/>
  <cols>
    <col min="1" max="1" width="28" customWidth="1"/>
    <col min="2" max="2" width="105" customWidth="1"/>
  </cols>
  <sheetData>
    <row r="1" spans="1:2" ht="23.25" x14ac:dyDescent="0.35">
      <c r="A1" s="7" t="s">
        <v>43</v>
      </c>
    </row>
    <row r="3" spans="1:2" x14ac:dyDescent="0.25">
      <c r="A3" s="8" t="s">
        <v>44</v>
      </c>
      <c r="B3" s="5" t="s">
        <v>45</v>
      </c>
    </row>
    <row r="4" spans="1:2" x14ac:dyDescent="0.25">
      <c r="A4" s="8" t="s">
        <v>46</v>
      </c>
      <c r="B4" s="5" t="s">
        <v>47</v>
      </c>
    </row>
    <row r="5" spans="1:2" x14ac:dyDescent="0.25">
      <c r="A5" s="8" t="s">
        <v>48</v>
      </c>
      <c r="B5" s="5" t="s">
        <v>49</v>
      </c>
    </row>
    <row r="6" spans="1:2" ht="30" x14ac:dyDescent="0.25">
      <c r="A6" s="8" t="s">
        <v>50</v>
      </c>
      <c r="B6" s="5" t="s">
        <v>51</v>
      </c>
    </row>
    <row r="7" spans="1:2" x14ac:dyDescent="0.25">
      <c r="A7" s="8" t="s">
        <v>52</v>
      </c>
      <c r="B7" s="5" t="s">
        <v>53</v>
      </c>
    </row>
    <row r="8" spans="1:2" x14ac:dyDescent="0.25">
      <c r="A8" s="8" t="s">
        <v>54</v>
      </c>
      <c r="B8" s="5" t="s">
        <v>55</v>
      </c>
    </row>
    <row r="9" spans="1:2" x14ac:dyDescent="0.25">
      <c r="A9" s="8" t="s">
        <v>56</v>
      </c>
      <c r="B9" s="6">
        <v>46293</v>
      </c>
    </row>
    <row r="10" spans="1:2" x14ac:dyDescent="0.25">
      <c r="A10" s="8" t="s">
        <v>57</v>
      </c>
      <c r="B10" s="5" t="s">
        <v>58</v>
      </c>
    </row>
    <row r="11" spans="1:2" x14ac:dyDescent="0.25">
      <c r="A11" s="8" t="s">
        <v>59</v>
      </c>
      <c r="B11" s="5" t="s">
        <v>60</v>
      </c>
    </row>
    <row r="12" spans="1:2" x14ac:dyDescent="0.25">
      <c r="A12" s="8" t="s">
        <v>61</v>
      </c>
      <c r="B12" s="5"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Exhibitions</vt:lpstr>
      <vt:lpstr>Page 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Fox, Jim</dc:creator>
  <cp:keywords/>
  <dc:description/>
  <cp:lastModifiedBy>Fox, Jim</cp:lastModifiedBy>
  <cp:revision/>
  <dcterms:created xsi:type="dcterms:W3CDTF">2026-09-28T12:35:30Z</dcterms:created>
  <dcterms:modified xsi:type="dcterms:W3CDTF">2026-09-28T19:55:56Z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56a699-e9bd-437a-8412-901342082749_Enabled">
    <vt:lpwstr>true</vt:lpwstr>
  </property>
  <property fmtid="{D5CDD505-2E9C-101B-9397-08002B2CF9AE}" pid="3" name="MSIP_Label_2c56a699-e9bd-437a-8412-901342082749_SetDate">
    <vt:lpwstr>2026-09-28T12:35:30Z</vt:lpwstr>
  </property>
  <property fmtid="{D5CDD505-2E9C-101B-9397-08002B2CF9AE}" pid="4" name="MSIP_Label_2c56a699-e9bd-437a-8412-901342082749_Method">
    <vt:lpwstr>Standard</vt:lpwstr>
  </property>
  <property fmtid="{D5CDD505-2E9C-101B-9397-08002B2CF9AE}" pid="5" name="MSIP_Label_2c56a699-e9bd-437a-8412-901342082749_Name">
    <vt:lpwstr>2c56a699-e9bd-437a-8412-901342082749</vt:lpwstr>
  </property>
  <property fmtid="{D5CDD505-2E9C-101B-9397-08002B2CF9AE}" pid="6" name="MSIP_Label_2c56a699-e9bd-437a-8412-901342082749_SiteId">
    <vt:lpwstr>a00de4ec-48a8-43a6-be74-e31274e2060d</vt:lpwstr>
  </property>
  <property fmtid="{D5CDD505-2E9C-101B-9397-08002B2CF9AE}" pid="7" name="MSIP_Label_2c56a699-e9bd-437a-8412-901342082749_ActionId">
    <vt:lpwstr>d1729ad9-879b-4ab0-88d2-be7df459b033</vt:lpwstr>
  </property>
  <property fmtid="{D5CDD505-2E9C-101B-9397-08002B2CF9AE}" pid="8" name="MSIP_Label_2c56a699-e9bd-437a-8412-901342082749_ContentBits">
    <vt:lpwstr>0</vt:lpwstr>
  </property>
</Properties>
</file>